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lex/Nube /repos/Turbimeter_Citizen_science/"/>
    </mc:Choice>
  </mc:AlternateContent>
  <xr:revisionPtr revIDLastSave="0" documentId="13_ncr:1_{222CA7BF-839D-AE4C-A297-71AE52375B2B}" xr6:coauthVersionLast="45" xr6:coauthVersionMax="45" xr10:uidLastSave="{00000000-0000-0000-0000-000000000000}"/>
  <bookViews>
    <workbookView xWindow="0" yWindow="660" windowWidth="30240" windowHeight="18980" xr2:uid="{00000000-000D-0000-FFFF-FFFF00000000}"/>
  </bookViews>
  <sheets>
    <sheet name="Shopping 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I3" i="1" s="1"/>
  <c r="F5" i="1"/>
  <c r="I5" i="1" s="1"/>
  <c r="F6" i="1"/>
  <c r="F9" i="1"/>
  <c r="I9" i="1" s="1"/>
  <c r="F10" i="1"/>
  <c r="I10" i="1" s="1"/>
  <c r="F11" i="1"/>
  <c r="I11" i="1" s="1"/>
  <c r="F13" i="1"/>
  <c r="I13" i="1" s="1"/>
  <c r="I14" i="1"/>
  <c r="F14" i="1"/>
  <c r="F12" i="1"/>
  <c r="I12" i="1" s="1"/>
  <c r="F8" i="1"/>
  <c r="I8" i="1" s="1"/>
  <c r="F7" i="1"/>
  <c r="I7" i="1" s="1"/>
  <c r="I6" i="1"/>
  <c r="F4" i="1"/>
  <c r="I4" i="1" s="1"/>
  <c r="F2" i="1"/>
  <c r="I2" i="1" s="1"/>
  <c r="I15" i="1" l="1"/>
</calcChain>
</file>

<file path=xl/sharedStrings.xml><?xml version="1.0" encoding="utf-8"?>
<sst xmlns="http://schemas.openxmlformats.org/spreadsheetml/2006/main" count="70" uniqueCount="54">
  <si>
    <t>Item</t>
  </si>
  <si>
    <t>Reference / SKU</t>
  </si>
  <si>
    <t>Needed</t>
  </si>
  <si>
    <t>Units/pack</t>
  </si>
  <si>
    <t>ULB stock</t>
  </si>
  <si>
    <t>Packs to order</t>
  </si>
  <si>
    <t>Supplier</t>
  </si>
  <si>
    <t>€/pack incl VAT</t>
  </si>
  <si>
    <t>Total incl VAT</t>
  </si>
  <si>
    <t>Link</t>
  </si>
  <si>
    <t>850 nm IR LED, 5 mm</t>
  </si>
  <si>
    <t>RS 699-7694 / TSHG6410</t>
  </si>
  <si>
    <t>RS</t>
  </si>
  <si>
    <t>https://benl.rs-online.com/web/p/ir-leds/6997694</t>
  </si>
  <si>
    <t>BPW34 photodiode</t>
  </si>
  <si>
    <t>RS 699-7616 / BPW34</t>
  </si>
  <si>
    <t>https://benl.rs-online.com/web/p/photodiodes/6997616</t>
  </si>
  <si>
    <t>MCP6002-E/P dual op amp, DIP-8</t>
  </si>
  <si>
    <t>RS 352-239</t>
  </si>
  <si>
    <t>https://benl.rs-online.com/web/p/op-amps/0352239</t>
  </si>
  <si>
    <t>TinyTronics</t>
  </si>
  <si>
    <t>1 MΩ resistors, 1%, ¼ W</t>
  </si>
  <si>
    <t>Tiny 007629</t>
  </si>
  <si>
    <t>https://www.tinytronics.nl/en/components/resistors/resistors/resistor-1m%CF%89-1-4w-10-pieces</t>
  </si>
  <si>
    <t>220 Ω resistor, ¼ W</t>
  </si>
  <si>
    <t>Tiny pack of 10</t>
  </si>
  <si>
    <t>https://www.tinytronics.nl/en/components/resistors/resistors/resistor-220%CF%89-1-4w-10-pieces</t>
  </si>
  <si>
    <t>Capacitor kit, 2 pF–100 nF</t>
  </si>
  <si>
    <t>Tiny 000297 / CERCONSET</t>
  </si>
  <si>
    <t>https://www.tinytronics.nl/en/components/capacitors/ceramic-capacitor-set-2pf-100nf</t>
  </si>
  <si>
    <t>100 nF, 50 V ceramic capacitor</t>
  </si>
  <si>
    <t>Tiny 000226</t>
  </si>
  <si>
    <t>https://www.tinytronics.nl/en/components/capacitors/100nf-50v-ceramic-capacitor</t>
  </si>
  <si>
    <t>USB-C to USB-C data cable, 2 m</t>
  </si>
  <si>
    <t>Tiny 003273 / Goobay 66508</t>
  </si>
  <si>
    <t>https://www.tinytronics.nl/en/cables-and-connectors/cables-and-adapters/usb/usb-c/goobay-66508-usb-c-usb-c-3.1-cable-2m-3a-black</t>
  </si>
  <si>
    <t>Metric nitrile O-ring assortment, 385 pcs</t>
  </si>
  <si>
    <t>RS 705-8958</t>
  </si>
  <si>
    <t>https://benl.rs-online.com/web/p/seal-o-ring-kits/7058958</t>
  </si>
  <si>
    <t>Cable gland M12, 3–6.5 mm</t>
  </si>
  <si>
    <t>Tiny 003009 / CABLEGLANDM12</t>
  </si>
  <si>
    <t>https://www.tinytronics.nl/en/tools-and-mounting/installation-and-mounting-material/cable-glands/cable-gland-m12-3mm-6.5mm</t>
  </si>
  <si>
    <t>Turbidity standards &lt;0.1 / 15 / 100 / 750 NTU</t>
  </si>
  <si>
    <t>Hanna HI98703-11</t>
  </si>
  <si>
    <t>Hanna BE</t>
  </si>
  <si>
    <t>https://www.hannainstruments.be/nl/kalibratieset-voor-de-hi98703-en-hi93414-turbiditeitsmeters-01-15-100-en-750-ntu-hi98703-11/</t>
  </si>
  <si>
    <t>Priced items subtotal (incl VAT)</t>
  </si>
  <si>
    <t>Estate</t>
  </si>
  <si>
    <t>ok</t>
  </si>
  <si>
    <t>SAMD21</t>
  </si>
  <si>
    <t>micro</t>
  </si>
  <si>
    <t>MCP3421</t>
  </si>
  <si>
    <t>axel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</si>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</sst>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8">
    <font>
      <sz val="11"/>
      <name val="Carlito"/>
    </font>
    <font>
      <sz val="10"/>
      <color rgb="FF1B2B3A"/>
      <name val="Arial"/>
    </font>
    <font>
      <b/>
      <sz val="10"/>
      <color rgb="FFFFFFFF"/>
      <name val="Arial"/>
    </font>
    <font>
      <b/>
      <sz val="10"/>
      <color rgb="FF17324D"/>
      <name val="Arial"/>
    </font>
    <font>
      <sz val="10"/>
      <color rgb="FF17324D"/>
      <name val="Arial"/>
    </font>
    <font>
      <sz val="9"/>
      <color rgb="FF17324D"/>
      <name val="Arial"/>
    </font>
    <font>
      <sz val="12"/>
      <color rgb="FF222222"/>
      <name val="Arial"/>
      <family val="2"/>
    </font>
    <font>
      <sz val="10"/>
      <color rgb="FF1B2B3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0B8"/>
      </patternFill>
    </fill>
    <fill>
      <patternFill patternType="solid">
        <fgColor rgb="FFEEF3F8"/>
      </patternFill>
    </fill>
    <fill>
      <patternFill patternType="solid">
        <fgColor rgb="FFE8F0F8"/>
      </patternFill>
    </fill>
    <fill>
      <patternFill patternType="solid">
        <fgColor rgb="FFFFF0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Border="1" applyAlignment="1">
      <alignment horizontal="center" vertical="center"/>
    </xf>
    <xf numFmtId="1" fontId="1" fillId="4" borderId="0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right" vertical="center"/>
    </xf>
    <xf numFmtId="164" fontId="1" fillId="4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Border="1" applyAlignment="1">
      <alignment horizontal="right" vertical="center"/>
    </xf>
    <xf numFmtId="164" fontId="3" fillId="5" borderId="0" xfId="0" applyNumberFormat="1" applyFont="1" applyFill="1" applyBorder="1"/>
    <xf numFmtId="0" fontId="6" fillId="0" borderId="0" xfId="0" applyFont="1"/>
    <xf numFmtId="0" fontId="5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/>
    <xf numFmtId="0" fontId="0" fillId="0" borderId="0" xfId="0" applyAlignment="1"/>
    <xf numFmtId="0" fontId="7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K23"/>
  <sheetViews>
    <sheetView showGridLines="0" tabSelected="1" zoomScale="119" zoomScaleNormal="25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/>
  <cols>
    <col min="1" max="1" width="39" customWidth="1"/>
    <col min="2" max="2" width="28" customWidth="1"/>
    <col min="3" max="3" width="8.83203125" customWidth="1"/>
    <col min="4" max="4" width="9.83203125" customWidth="1"/>
    <col min="5" max="5" width="9.6640625" customWidth="1"/>
    <col min="6" max="6" width="9.5" customWidth="1"/>
    <col min="7" max="7" width="11.1640625" customWidth="1"/>
    <col min="8" max="8" width="7.6640625" customWidth="1"/>
    <col min="9" max="9" width="10.83203125" customWidth="1"/>
    <col min="10" max="10" width="17" style="21" customWidth="1"/>
  </cols>
  <sheetData>
    <row r="1" spans="1:11" ht="31" customHeight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47</v>
      </c>
    </row>
    <row r="2" spans="1:11" ht="38" customHeight="1">
      <c r="A2" s="2" t="s">
        <v>10</v>
      </c>
      <c r="B2" s="2" t="s">
        <v>11</v>
      </c>
      <c r="C2" s="4">
        <v>1</v>
      </c>
      <c r="D2" s="4">
        <v>20</v>
      </c>
      <c r="E2" s="5">
        <v>0</v>
      </c>
      <c r="F2" s="6">
        <f t="shared" ref="F2:F13" si="0">MAX(0,ROUNDUP((C2-E2)/D2,0))</f>
        <v>1</v>
      </c>
      <c r="G2" s="2" t="s">
        <v>12</v>
      </c>
      <c r="H2" s="12">
        <v>16.8</v>
      </c>
      <c r="I2" s="13">
        <f t="shared" ref="I2:I13" si="1">IF(H2="","",F2*H2)</f>
        <v>16.8</v>
      </c>
      <c r="J2" s="18" t="s">
        <v>13</v>
      </c>
      <c r="K2" t="s">
        <v>48</v>
      </c>
    </row>
    <row r="3" spans="1:11" ht="38" customHeight="1">
      <c r="A3" s="2" t="s">
        <v>14</v>
      </c>
      <c r="B3" s="2" t="s">
        <v>15</v>
      </c>
      <c r="C3" s="4">
        <v>2</v>
      </c>
      <c r="D3" s="4">
        <v>5</v>
      </c>
      <c r="E3" s="5">
        <v>0</v>
      </c>
      <c r="F3" s="6">
        <f t="shared" si="0"/>
        <v>1</v>
      </c>
      <c r="G3" s="2" t="s">
        <v>12</v>
      </c>
      <c r="H3" s="12">
        <v>7.03</v>
      </c>
      <c r="I3" s="13">
        <f t="shared" si="1"/>
        <v>7.03</v>
      </c>
      <c r="J3" s="18" t="s">
        <v>16</v>
      </c>
      <c r="K3" t="s">
        <v>48</v>
      </c>
    </row>
    <row r="4" spans="1:11" ht="38" customHeight="1">
      <c r="A4" s="2" t="s">
        <v>17</v>
      </c>
      <c r="B4" s="2" t="s">
        <v>18</v>
      </c>
      <c r="C4" s="4">
        <v>1</v>
      </c>
      <c r="D4" s="4">
        <v>10</v>
      </c>
      <c r="E4" s="5">
        <v>0</v>
      </c>
      <c r="F4" s="6">
        <f t="shared" si="0"/>
        <v>1</v>
      </c>
      <c r="G4" s="2" t="s">
        <v>12</v>
      </c>
      <c r="H4" s="12">
        <v>5.4</v>
      </c>
      <c r="I4" s="13">
        <f t="shared" si="1"/>
        <v>5.4</v>
      </c>
      <c r="J4" s="18" t="s">
        <v>19</v>
      </c>
      <c r="K4" t="s">
        <v>48</v>
      </c>
    </row>
    <row r="5" spans="1:11" ht="38" customHeight="1">
      <c r="A5" s="17" t="s">
        <v>51</v>
      </c>
      <c r="B5" s="22" t="s">
        <v>52</v>
      </c>
      <c r="C5" s="4">
        <v>1</v>
      </c>
      <c r="D5" s="4">
        <v>1</v>
      </c>
      <c r="E5" s="5">
        <v>0</v>
      </c>
      <c r="F5" s="6">
        <f t="shared" si="0"/>
        <v>1</v>
      </c>
      <c r="G5" s="2"/>
      <c r="H5" s="12">
        <v>5.5</v>
      </c>
      <c r="I5" s="13">
        <f t="shared" si="1"/>
        <v>5.5</v>
      </c>
      <c r="J5" s="18"/>
    </row>
    <row r="6" spans="1:11" ht="38" customHeight="1">
      <c r="A6" s="17" t="s">
        <v>50</v>
      </c>
      <c r="B6" s="17" t="s">
        <v>49</v>
      </c>
      <c r="C6" s="4">
        <v>1</v>
      </c>
      <c r="D6" s="4">
        <v>1</v>
      </c>
      <c r="E6" s="5">
        <v>0</v>
      </c>
      <c r="F6" s="6">
        <f t="shared" si="0"/>
        <v>1</v>
      </c>
      <c r="G6" s="2"/>
      <c r="H6" s="12">
        <v>7</v>
      </c>
      <c r="I6" s="13">
        <f t="shared" si="1"/>
        <v>7</v>
      </c>
      <c r="J6" s="18"/>
      <c r="K6" t="s">
        <v>48</v>
      </c>
    </row>
    <row r="7" spans="1:11" ht="38" customHeight="1">
      <c r="A7" s="2" t="s">
        <v>21</v>
      </c>
      <c r="B7" s="2" t="s">
        <v>22</v>
      </c>
      <c r="C7" s="4">
        <v>2</v>
      </c>
      <c r="D7" s="4">
        <v>10</v>
      </c>
      <c r="E7" s="5">
        <v>0</v>
      </c>
      <c r="F7" s="6">
        <f t="shared" si="0"/>
        <v>1</v>
      </c>
      <c r="G7" s="2" t="s">
        <v>20</v>
      </c>
      <c r="H7" s="12">
        <v>0.5</v>
      </c>
      <c r="I7" s="13">
        <f t="shared" si="1"/>
        <v>0.5</v>
      </c>
      <c r="J7" s="18" t="s">
        <v>23</v>
      </c>
      <c r="K7" t="s">
        <v>48</v>
      </c>
    </row>
    <row r="8" spans="1:11" ht="38" customHeight="1">
      <c r="A8" s="2" t="s">
        <v>24</v>
      </c>
      <c r="B8" s="2" t="s">
        <v>25</v>
      </c>
      <c r="C8" s="4">
        <v>1</v>
      </c>
      <c r="D8" s="4">
        <v>10</v>
      </c>
      <c r="E8" s="5">
        <v>0</v>
      </c>
      <c r="F8" s="6">
        <f t="shared" si="0"/>
        <v>1</v>
      </c>
      <c r="G8" s="2" t="s">
        <v>20</v>
      </c>
      <c r="H8" s="12">
        <v>0.5</v>
      </c>
      <c r="I8" s="13">
        <f t="shared" si="1"/>
        <v>0.5</v>
      </c>
      <c r="J8" s="18" t="s">
        <v>26</v>
      </c>
      <c r="K8" t="s">
        <v>48</v>
      </c>
    </row>
    <row r="9" spans="1:11" ht="38" customHeight="1">
      <c r="A9" s="2" t="s">
        <v>27</v>
      </c>
      <c r="B9" s="2" t="s">
        <v>28</v>
      </c>
      <c r="C9" s="4">
        <v>1</v>
      </c>
      <c r="D9" s="4">
        <v>1</v>
      </c>
      <c r="E9" s="5">
        <v>0</v>
      </c>
      <c r="F9" s="6">
        <f t="shared" si="0"/>
        <v>1</v>
      </c>
      <c r="G9" s="2" t="s">
        <v>20</v>
      </c>
      <c r="H9" s="12">
        <v>4</v>
      </c>
      <c r="I9" s="13">
        <f t="shared" si="1"/>
        <v>4</v>
      </c>
      <c r="J9" s="18" t="s">
        <v>29</v>
      </c>
    </row>
    <row r="10" spans="1:11" ht="38" customHeight="1">
      <c r="A10" s="2" t="s">
        <v>30</v>
      </c>
      <c r="B10" s="2" t="s">
        <v>31</v>
      </c>
      <c r="C10" s="4">
        <v>3</v>
      </c>
      <c r="D10" s="4">
        <v>1</v>
      </c>
      <c r="E10" s="5">
        <v>0</v>
      </c>
      <c r="F10" s="6">
        <f t="shared" si="0"/>
        <v>3</v>
      </c>
      <c r="G10" s="2" t="s">
        <v>20</v>
      </c>
      <c r="H10" s="12">
        <v>0.1</v>
      </c>
      <c r="I10" s="13">
        <f t="shared" si="1"/>
        <v>0.30000000000000004</v>
      </c>
      <c r="J10" s="18" t="s">
        <v>32</v>
      </c>
    </row>
    <row r="11" spans="1:11" ht="52" customHeight="1">
      <c r="A11" s="2" t="s">
        <v>33</v>
      </c>
      <c r="B11" s="2" t="s">
        <v>34</v>
      </c>
      <c r="C11" s="4">
        <v>1</v>
      </c>
      <c r="D11" s="4">
        <v>1</v>
      </c>
      <c r="E11" s="5">
        <v>0</v>
      </c>
      <c r="F11" s="6">
        <f t="shared" si="0"/>
        <v>1</v>
      </c>
      <c r="G11" s="2" t="s">
        <v>20</v>
      </c>
      <c r="H11" s="12">
        <v>9</v>
      </c>
      <c r="I11" s="13">
        <f t="shared" si="1"/>
        <v>9</v>
      </c>
      <c r="J11" s="18" t="s">
        <v>35</v>
      </c>
      <c r="K11" t="s">
        <v>48</v>
      </c>
    </row>
    <row r="12" spans="1:11" ht="38" customHeight="1">
      <c r="A12" s="8" t="s">
        <v>36</v>
      </c>
      <c r="B12" s="8" t="s">
        <v>37</v>
      </c>
      <c r="C12" s="9">
        <v>1</v>
      </c>
      <c r="D12" s="9">
        <v>1</v>
      </c>
      <c r="E12" s="10">
        <v>0</v>
      </c>
      <c r="F12" s="11">
        <f t="shared" si="0"/>
        <v>1</v>
      </c>
      <c r="G12" s="8" t="s">
        <v>12</v>
      </c>
      <c r="H12" s="14">
        <v>19.89</v>
      </c>
      <c r="I12" s="15">
        <f t="shared" si="1"/>
        <v>19.89</v>
      </c>
      <c r="J12" s="19" t="s">
        <v>38</v>
      </c>
      <c r="K12" t="s">
        <v>48</v>
      </c>
    </row>
    <row r="13" spans="1:11" ht="38" customHeight="1">
      <c r="A13" s="8" t="s">
        <v>39</v>
      </c>
      <c r="B13" s="8" t="s">
        <v>40</v>
      </c>
      <c r="C13" s="9">
        <v>1</v>
      </c>
      <c r="D13" s="9">
        <v>1</v>
      </c>
      <c r="E13" s="10">
        <v>0</v>
      </c>
      <c r="F13" s="11">
        <f t="shared" si="0"/>
        <v>1</v>
      </c>
      <c r="G13" s="8" t="s">
        <v>20</v>
      </c>
      <c r="H13" s="14">
        <v>0.6</v>
      </c>
      <c r="I13" s="15">
        <f t="shared" si="1"/>
        <v>0.6</v>
      </c>
      <c r="J13" s="19" t="s">
        <v>41</v>
      </c>
      <c r="K13" t="s">
        <v>48</v>
      </c>
    </row>
    <row r="14" spans="1:11" ht="38" customHeight="1">
      <c r="A14" s="8" t="s">
        <v>42</v>
      </c>
      <c r="B14" s="8" t="s">
        <v>43</v>
      </c>
      <c r="C14" s="9">
        <v>1</v>
      </c>
      <c r="D14" s="9">
        <v>1</v>
      </c>
      <c r="E14" s="10">
        <v>0</v>
      </c>
      <c r="F14" s="11">
        <f>MAX(0,ROUNDUP((C14-E14)/D14,0))</f>
        <v>1</v>
      </c>
      <c r="G14" s="8" t="s">
        <v>44</v>
      </c>
      <c r="H14" s="14"/>
      <c r="I14" s="15" t="str">
        <f>IF(H14="","",F14*H14)</f>
        <v/>
      </c>
      <c r="J14" s="19" t="s">
        <v>45</v>
      </c>
      <c r="K14" t="s">
        <v>53</v>
      </c>
    </row>
    <row r="15" spans="1:11" ht="32" customHeight="1">
      <c r="A15" s="7" t="s">
        <v>46</v>
      </c>
      <c r="B15" s="7"/>
      <c r="C15" s="7"/>
      <c r="D15" s="7"/>
      <c r="E15" s="7"/>
      <c r="F15" s="7"/>
      <c r="G15" s="7"/>
      <c r="H15" s="16"/>
      <c r="I15" s="16">
        <f>SUM(I2:I14)</f>
        <v>76.52</v>
      </c>
      <c r="J15" s="20"/>
    </row>
    <row r="17" ht="28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2026-10-05T13:40:49Z</dcterms:modified>
</cp:coreProperties>
</file>